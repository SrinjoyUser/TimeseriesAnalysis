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FB095204-4B34-4C9C-BD56-5D1495EDD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3" i="1"/>
  <c r="E4" i="1"/>
  <c r="E2" i="1"/>
  <c r="D13" i="1"/>
  <c r="C13" i="1"/>
  <c r="B13" i="1"/>
</calcChain>
</file>

<file path=xl/sharedStrings.xml><?xml version="1.0" encoding="utf-8"?>
<sst xmlns="http://schemas.openxmlformats.org/spreadsheetml/2006/main" count="17" uniqueCount="17">
  <si>
    <t>Total_2016</t>
  </si>
  <si>
    <t>Month</t>
  </si>
  <si>
    <t>No. of Banks live on UPI</t>
  </si>
  <si>
    <t>Volume (In Mn.)</t>
  </si>
  <si>
    <t>Value (In Cr.)</t>
  </si>
  <si>
    <t>Total_2017</t>
  </si>
  <si>
    <t>Total_2018</t>
  </si>
  <si>
    <t>Total_2019</t>
  </si>
  <si>
    <t>Total_2020</t>
  </si>
  <si>
    <t>Total_2021</t>
  </si>
  <si>
    <t>Total_2022</t>
  </si>
  <si>
    <t>Total_2023</t>
  </si>
  <si>
    <t>Total_2024</t>
  </si>
  <si>
    <t>Total_2025</t>
  </si>
  <si>
    <t>Total_2026</t>
  </si>
  <si>
    <t>% Contribution</t>
  </si>
  <si>
    <t>Total_all_yrs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</si>
</sst>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7" sqref="H17"/>
    </sheetView>
  </sheetViews>
  <sheetFormatPr defaultRowHeight="15" x14ac:dyDescent="0.25"/>
  <cols>
    <col min="1" max="1" width="12.140625" bestFit="1" customWidth="1"/>
    <col min="2" max="2" width="22.28515625" bestFit="1" customWidth="1"/>
    <col min="3" max="3" width="15.5703125" bestFit="1" customWidth="1"/>
    <col min="4" max="4" width="15" bestFit="1" customWidth="1"/>
    <col min="5" max="5" width="14.4257812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6" t="s">
        <v>15</v>
      </c>
    </row>
    <row r="2" spans="1:5" x14ac:dyDescent="0.25">
      <c r="A2" s="2" t="s">
        <v>0</v>
      </c>
      <c r="B2" s="2">
        <v>220</v>
      </c>
      <c r="C2" s="2">
        <v>2.6499999999999995</v>
      </c>
      <c r="D2" s="3">
        <v>893.07</v>
      </c>
      <c r="E2" s="2">
        <f>C2/C13*100</f>
        <v>1.2531548765126995E-3</v>
      </c>
    </row>
    <row r="3" spans="1:5" x14ac:dyDescent="0.25">
      <c r="A3" s="2" t="s">
        <v>5</v>
      </c>
      <c r="B3" s="2">
        <v>124</v>
      </c>
      <c r="C3" s="2">
        <v>15.21</v>
      </c>
      <c r="D3" s="3">
        <v>6059.0700000000006</v>
      </c>
      <c r="E3" s="2">
        <f>C3/C13*100</f>
        <v>7.1926361025502501E-3</v>
      </c>
    </row>
    <row r="4" spans="1:5" x14ac:dyDescent="0.25">
      <c r="A4" s="1" t="s">
        <v>6</v>
      </c>
      <c r="B4" s="1">
        <v>248</v>
      </c>
      <c r="C4" s="4">
        <v>501.28000000000009</v>
      </c>
      <c r="D4" s="5">
        <v>58870</v>
      </c>
      <c r="E4" s="2">
        <f>C4/C13*100</f>
        <v>0.23704961377293823</v>
      </c>
    </row>
    <row r="5" spans="1:5" x14ac:dyDescent="0.25">
      <c r="A5" s="2" t="s">
        <v>7</v>
      </c>
      <c r="B5" s="2">
        <v>415</v>
      </c>
      <c r="C5" s="2">
        <v>2146.48</v>
      </c>
      <c r="D5" s="3">
        <v>350130.27</v>
      </c>
      <c r="E5" s="2">
        <f>C5/C13*100</f>
        <v>1.015045992202634</v>
      </c>
    </row>
    <row r="6" spans="1:5" x14ac:dyDescent="0.25">
      <c r="A6" s="2" t="s">
        <v>8</v>
      </c>
      <c r="B6" s="2">
        <v>438</v>
      </c>
      <c r="C6" s="2">
        <v>3877.5499999999997</v>
      </c>
      <c r="D6" s="3">
        <v>645222.23</v>
      </c>
      <c r="E6" s="2">
        <f>C6/C13*100</f>
        <v>1.8336493175176674</v>
      </c>
    </row>
    <row r="7" spans="1:5" x14ac:dyDescent="0.25">
      <c r="A7" s="1" t="s">
        <v>9</v>
      </c>
      <c r="B7" s="1">
        <v>636</v>
      </c>
      <c r="C7" s="1">
        <v>7327.3099999999995</v>
      </c>
      <c r="D7" s="5">
        <v>1361131.0899999999</v>
      </c>
      <c r="E7" s="2">
        <f>C7/C13*100</f>
        <v>3.4650016068755738</v>
      </c>
    </row>
    <row r="8" spans="1:5" x14ac:dyDescent="0.25">
      <c r="A8" s="1" t="s">
        <v>10</v>
      </c>
      <c r="B8" s="1">
        <v>915</v>
      </c>
      <c r="C8" s="4">
        <v>14550.289999999999</v>
      </c>
      <c r="D8" s="5">
        <v>2619417.77</v>
      </c>
      <c r="E8" s="2">
        <f>C8/C13*100</f>
        <v>6.8806667427071586</v>
      </c>
    </row>
    <row r="9" spans="1:5" x14ac:dyDescent="0.25">
      <c r="A9" s="2" t="s">
        <v>11</v>
      </c>
      <c r="B9" s="2">
        <v>1174</v>
      </c>
      <c r="C9" s="2">
        <v>24256.95</v>
      </c>
      <c r="D9" s="3">
        <v>3945016.25</v>
      </c>
      <c r="E9" s="2">
        <f>C9/C13*100</f>
        <v>11.470835917669712</v>
      </c>
    </row>
    <row r="10" spans="1:5" x14ac:dyDescent="0.25">
      <c r="A10" s="1" t="s">
        <v>12</v>
      </c>
      <c r="B10" s="1">
        <v>1682</v>
      </c>
      <c r="C10" s="4">
        <v>37745.69</v>
      </c>
      <c r="D10" s="5">
        <v>5647306.5499999998</v>
      </c>
      <c r="E10" s="2">
        <f>C10/C13*100</f>
        <v>17.849507732391189</v>
      </c>
    </row>
    <row r="11" spans="1:5" x14ac:dyDescent="0.25">
      <c r="A11" s="2" t="s">
        <v>13</v>
      </c>
      <c r="B11" s="2">
        <v>1300</v>
      </c>
      <c r="C11" s="2">
        <v>33102.19</v>
      </c>
      <c r="D11" s="3">
        <v>7021740.4199999999</v>
      </c>
      <c r="E11" s="2">
        <f>C11/C13*100</f>
        <v>15.653649366698087</v>
      </c>
    </row>
    <row r="12" spans="1:5" x14ac:dyDescent="0.25">
      <c r="A12" s="1" t="s">
        <v>14</v>
      </c>
      <c r="B12" s="1">
        <v>2806</v>
      </c>
      <c r="C12" s="1">
        <v>87940.68</v>
      </c>
      <c r="D12" s="5">
        <v>11460676.74</v>
      </c>
      <c r="E12" s="2">
        <f>C12/C13*100</f>
        <v>41.586147919185976</v>
      </c>
    </row>
    <row r="13" spans="1:5" x14ac:dyDescent="0.25">
      <c r="A13" s="7" t="s">
        <v>16</v>
      </c>
      <c r="B13" s="2">
        <f>SUM(B2:B12)</f>
        <v>9958</v>
      </c>
      <c r="C13" s="2">
        <f>SUM(C2:C12)</f>
        <v>211466.28</v>
      </c>
      <c r="D13" s="3">
        <f>SUM(D2:D12)</f>
        <v>33116463.460000001</v>
      </c>
      <c r="E13" s="2">
        <f>SUM(E2:E12)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Saha</dc:creator>
  <cp:lastModifiedBy>Srinjoy Saha</cp:lastModifiedBy>
  <dcterms:created xsi:type="dcterms:W3CDTF">2015-06-05T18:17:20Z</dcterms:created>
  <dcterms:modified xsi:type="dcterms:W3CDTF">2026-06-08T15:59:55Z</dcterms:modified>
</cp:coreProperties>
</file>